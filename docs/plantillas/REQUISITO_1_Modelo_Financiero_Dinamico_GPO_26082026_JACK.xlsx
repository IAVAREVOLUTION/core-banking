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jacin\Downloads\"/>
    </mc:Choice>
  </mc:AlternateContent>
  <xr:revisionPtr revIDLastSave="0" documentId="13_ncr:1_{041A8A2F-2F25-4A45-9C4D-6F7BBC7C6C07}" xr6:coauthVersionLast="37" xr6:coauthVersionMax="37" xr10:uidLastSave="{00000000-0000-0000-0000-000000000000}"/>
  <bookViews>
    <workbookView xWindow="0" yWindow="0" windowWidth="23040" windowHeight="8652" xr2:uid="{00000000-000D-0000-FFFF-FFFF00000000}"/>
  </bookViews>
  <sheets>
    <sheet name="Modelo_Financiero_GPO" sheetId="1" r:id="rId1"/>
  </sheets>
  <calcPr calcId="162913"/>
</workbook>
</file>

<file path=xl/calcChain.xml><?xml version="1.0" encoding="utf-8"?>
<calcChain xmlns="http://schemas.openxmlformats.org/spreadsheetml/2006/main">
  <c r="K37" i="1" l="1"/>
  <c r="J37" i="1"/>
  <c r="I37" i="1"/>
  <c r="H37" i="1"/>
  <c r="G37" i="1"/>
  <c r="F37" i="1"/>
  <c r="E37" i="1"/>
  <c r="D37" i="1"/>
  <c r="C37" i="1"/>
  <c r="B37" i="1"/>
  <c r="L37" i="1" s="1"/>
  <c r="K34" i="1"/>
  <c r="J34" i="1"/>
  <c r="I34" i="1"/>
  <c r="H34" i="1"/>
  <c r="G34" i="1"/>
  <c r="F34" i="1"/>
  <c r="E34" i="1"/>
  <c r="D34" i="1"/>
  <c r="E33" i="1" s="1"/>
  <c r="E35" i="1" s="1"/>
  <c r="C34" i="1"/>
  <c r="B34" i="1"/>
  <c r="I33" i="1" s="1"/>
  <c r="I35" i="1" s="1"/>
  <c r="J33" i="1"/>
  <c r="J35" i="1" s="1"/>
  <c r="G33" i="1"/>
  <c r="G35" i="1" s="1"/>
  <c r="B33" i="1"/>
  <c r="B35" i="1" s="1"/>
  <c r="L27" i="1"/>
  <c r="K27" i="1"/>
  <c r="F27" i="1"/>
  <c r="B25" i="1"/>
  <c r="B23" i="1"/>
  <c r="B22" i="1"/>
  <c r="C21" i="1"/>
  <c r="D21" i="1" s="1"/>
  <c r="B21" i="1"/>
  <c r="E21" i="1" l="1"/>
  <c r="D23" i="1"/>
  <c r="B28" i="1"/>
  <c r="B29" i="1" s="1"/>
  <c r="C23" i="1"/>
  <c r="C33" i="1"/>
  <c r="C35" i="1" s="1"/>
  <c r="K33" i="1"/>
  <c r="K35" i="1" s="1"/>
  <c r="D33" i="1"/>
  <c r="D35" i="1" s="1"/>
  <c r="C25" i="1"/>
  <c r="F33" i="1"/>
  <c r="F35" i="1" s="1"/>
  <c r="L35" i="1" s="1"/>
  <c r="L34" i="1"/>
  <c r="C22" i="1"/>
  <c r="D22" i="1" s="1"/>
  <c r="E22" i="1" s="1"/>
  <c r="F22" i="1" s="1"/>
  <c r="G22" i="1" s="1"/>
  <c r="H22" i="1" s="1"/>
  <c r="I22" i="1" s="1"/>
  <c r="J22" i="1" s="1"/>
  <c r="K22" i="1" s="1"/>
  <c r="B26" i="1"/>
  <c r="H33" i="1"/>
  <c r="H35" i="1" s="1"/>
  <c r="B30" i="1" l="1"/>
  <c r="B31" i="1" s="1"/>
  <c r="F21" i="1"/>
  <c r="E23" i="1"/>
  <c r="D26" i="1"/>
  <c r="C26" i="1"/>
  <c r="C28" i="1"/>
  <c r="D25" i="1"/>
  <c r="L33" i="1"/>
  <c r="L22" i="1"/>
  <c r="B38" i="1" l="1"/>
  <c r="E26" i="1"/>
  <c r="G21" i="1"/>
  <c r="F23" i="1"/>
  <c r="D28" i="1"/>
  <c r="D29" i="1" s="1"/>
  <c r="E25" i="1"/>
  <c r="C29" i="1"/>
  <c r="E28" i="1" l="1"/>
  <c r="F25" i="1"/>
  <c r="D30" i="1"/>
  <c r="D31" i="1" s="1"/>
  <c r="D38" i="1" s="1"/>
  <c r="D39" i="1" s="1"/>
  <c r="F26" i="1"/>
  <c r="C30" i="1"/>
  <c r="G23" i="1"/>
  <c r="H21" i="1"/>
  <c r="B39" i="1"/>
  <c r="C31" i="1" l="1"/>
  <c r="H23" i="1"/>
  <c r="I21" i="1"/>
  <c r="G26" i="1"/>
  <c r="G25" i="1"/>
  <c r="F28" i="1"/>
  <c r="F29" i="1" s="1"/>
  <c r="E29" i="1"/>
  <c r="I23" i="1" l="1"/>
  <c r="J21" i="1"/>
  <c r="F30" i="1"/>
  <c r="F31" i="1" s="1"/>
  <c r="F38" i="1" s="1"/>
  <c r="F39" i="1" s="1"/>
  <c r="C38" i="1"/>
  <c r="E30" i="1"/>
  <c r="E31" i="1" s="1"/>
  <c r="H26" i="1"/>
  <c r="G28" i="1"/>
  <c r="G29" i="1" s="1"/>
  <c r="H25" i="1"/>
  <c r="E38" i="1" l="1"/>
  <c r="E39" i="1" s="1"/>
  <c r="C39" i="1"/>
  <c r="G30" i="1"/>
  <c r="G31" i="1"/>
  <c r="G38" i="1" s="1"/>
  <c r="G39" i="1" s="1"/>
  <c r="K21" i="1"/>
  <c r="J23" i="1"/>
  <c r="H28" i="1"/>
  <c r="H29" i="1" s="1"/>
  <c r="I25" i="1"/>
  <c r="I26" i="1"/>
  <c r="K23" i="1" l="1"/>
  <c r="L21" i="1"/>
  <c r="J26" i="1"/>
  <c r="I28" i="1"/>
  <c r="I29" i="1" s="1"/>
  <c r="J25" i="1"/>
  <c r="H30" i="1"/>
  <c r="H31" i="1" s="1"/>
  <c r="H38" i="1" l="1"/>
  <c r="J28" i="1"/>
  <c r="J29" i="1" s="1"/>
  <c r="K25" i="1"/>
  <c r="I30" i="1"/>
  <c r="I31" i="1" s="1"/>
  <c r="I38" i="1" s="1"/>
  <c r="I39" i="1" s="1"/>
  <c r="K26" i="1"/>
  <c r="L26" i="1" s="1"/>
  <c r="L23" i="1"/>
  <c r="K28" i="1" l="1"/>
  <c r="L25" i="1"/>
  <c r="J30" i="1"/>
  <c r="J31" i="1" s="1"/>
  <c r="J38" i="1" s="1"/>
  <c r="H39" i="1"/>
  <c r="J39" i="1" l="1"/>
  <c r="L28" i="1"/>
  <c r="K29" i="1"/>
  <c r="K30" i="1" l="1"/>
  <c r="L30" i="1" s="1"/>
  <c r="L29" i="1"/>
  <c r="K31" i="1" l="1"/>
  <c r="K38" i="1" l="1"/>
  <c r="L31" i="1"/>
  <c r="K39" i="1" l="1"/>
  <c r="L38" i="1"/>
</calcChain>
</file>

<file path=xl/sharedStrings.xml><?xml version="1.0" encoding="utf-8"?>
<sst xmlns="http://schemas.openxmlformats.org/spreadsheetml/2006/main" count="295" uniqueCount="52">
  <si>
    <t>MODELO FINANCIERO DINÁMICO AUDITADO (EJEMPLO DE SUSTENTO DE FLUJOS)</t>
  </si>
  <si>
    <t>Producto: Línea de Crédito de 2do Piso - Garantía de Pago Oportuno (GPO) | Proyecto: Autopista de Infraestructura Vial</t>
  </si>
  <si>
    <t>1. PARÁMETROS E HIPÓTESIS DE ENTRADA (INPUTS)</t>
  </si>
  <si>
    <t>Aforo Vehicular Inicial Anual (Año 1)</t>
  </si>
  <si>
    <t>Vehículos</t>
  </si>
  <si>
    <t>Tarifa Promedio Inicial de Peaje</t>
  </si>
  <si>
    <t>MXN</t>
  </si>
  <si>
    <t>Crecimiento Anual Estimado del Aforo</t>
  </si>
  <si>
    <t>%</t>
  </si>
  <si>
    <t>Inflación Anual Proyectada (Indexación)</t>
  </si>
  <si>
    <t>Costo Operativo Base Anual</t>
  </si>
  <si>
    <t>Gasto de Mantenimiento Preventivo (% de Ingresos)</t>
  </si>
  <si>
    <t>Gasto de Mantenimiento Correctivo (Cada 5 años)</t>
  </si>
  <si>
    <t>MXN (Año 5)</t>
  </si>
  <si>
    <t>Tasa de Impuesto (ISR / Provisiones)</t>
  </si>
  <si>
    <t>Monto Total de la Emisión Bursátil</t>
  </si>
  <si>
    <t>Cupo de Reserva GPO Requerido (Banobras)</t>
  </si>
  <si>
    <t>Tasa de Interés Cupón de los Bonos (Fija)</t>
  </si>
  <si>
    <t>Plazo de los Bonos</t>
  </si>
  <si>
    <t>Años</t>
  </si>
  <si>
    <t>CONCEPTO / AÑO OPERATIVO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</si>
  <si>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</si>
  <si>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</si>
  <si>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</si>
  <si>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</si>
  <si>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</si>
  <si>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</si>
  <si>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</si>
  <si>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</si>
  <si>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</si>
  <si>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</si>
  <si>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 xml:space="preserve">Promedio </t>
  </si>
  <si>
    <t>INGRESOS POR PEAJE</t>
  </si>
  <si>
    <t>Aforo Vehicular Total</t>
  </si>
  <si>
    <t>Tarifa Media Indexada</t>
  </si>
  <si>
    <t>Total Ingresos Operativos</t>
  </si>
  <si>
    <t>EGRESOS Y COSTOS OPERATIVOS</t>
  </si>
  <si>
    <t>Gastos de Operación y Administración (O&amp;M)</t>
  </si>
  <si>
    <t>Mantenimiento Preventivo</t>
  </si>
  <si>
    <t>Mantenimiento Correctivo (Mayor)</t>
  </si>
  <si>
    <t>Total Costos Operativos</t>
  </si>
  <si>
    <t>UTILIDAD OPERATIVA (EBITDA)</t>
  </si>
  <si>
    <t>Provisiones Fiscales (Impuestos)</t>
  </si>
  <si>
    <t>Flujo de Caja Neto Operativo Disponible</t>
  </si>
  <si>
    <t>SERVICIO DE LA DEUDA BURSÁTIL</t>
  </si>
  <si>
    <t>Pago de Intereses (Cupón Bonos)</t>
  </si>
  <si>
    <t>Amortización de Capital (Principal)</t>
  </si>
  <si>
    <t>Servicio de la Deuda Total</t>
  </si>
  <si>
    <t>MÉTRICAS DE COBERTURA Y VIABILIDAD</t>
  </si>
  <si>
    <t>Flujo Excedente / Remanente</t>
  </si>
  <si>
    <t>Factor de Cobertura (DSCR)</t>
  </si>
  <si>
    <t>Grado de Riesgo / Semaforización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</si>
</sst>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\$#,##0.00"/>
    <numFmt numFmtId="165" formatCode="0.0%"/>
    <numFmt numFmtId="166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6"/>
      <color rgb="FF1F4E78"/>
      <name val="Arial"/>
    </font>
    <font>
      <i/>
      <sz val="11"/>
      <color rgb="FF595959"/>
      <name val="Arial"/>
    </font>
    <font>
      <b/>
      <sz val="12"/>
      <color rgb="FF1F4E78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  <font>
      <b/>
      <sz val="11"/>
      <color rgb="FF00000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2">
    <xf numFmtId="0" fontId="0" fillId="0" borderId="0"/>
    <xf numFmtId="44" fontId="8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3" fontId="5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0" fontId="6" fillId="2" borderId="0" xfId="0" applyFont="1" applyFill="1"/>
    <xf numFmtId="0" fontId="6" fillId="2" borderId="0" xfId="0" applyFont="1" applyFill="1" applyAlignment="1">
      <alignment horizontal="center" vertical="center"/>
    </xf>
    <xf numFmtId="0" fontId="7" fillId="3" borderId="0" xfId="0" applyFont="1" applyFill="1"/>
    <xf numFmtId="0" fontId="0" fillId="3" borderId="0" xfId="0" applyFill="1"/>
    <xf numFmtId="0" fontId="4" fillId="0" borderId="1" xfId="0" applyFont="1" applyBorder="1"/>
    <xf numFmtId="3" fontId="4" fillId="0" borderId="1" xfId="0" applyNumberFormat="1" applyFont="1" applyBorder="1"/>
    <xf numFmtId="164" fontId="4" fillId="0" borderId="1" xfId="0" applyNumberFormat="1" applyFont="1" applyBorder="1"/>
    <xf numFmtId="164" fontId="5" fillId="4" borderId="1" xfId="0" applyNumberFormat="1" applyFont="1" applyFill="1" applyBorder="1"/>
    <xf numFmtId="164" fontId="5" fillId="0" borderId="1" xfId="0" applyNumberFormat="1" applyFont="1" applyBorder="1"/>
    <xf numFmtId="164" fontId="5" fillId="3" borderId="1" xfId="0" applyNumberFormat="1" applyFont="1" applyFill="1" applyBorder="1"/>
    <xf numFmtId="2" fontId="0" fillId="0" borderId="0" xfId="0" applyNumberFormat="1"/>
    <xf numFmtId="166" fontId="0" fillId="0" borderId="0" xfId="1" applyNumberFormat="1" applyFont="1"/>
    <xf numFmtId="0" fontId="0" fillId="5" borderId="0" xfId="0" applyFill="1"/>
    <xf numFmtId="0" fontId="4" fillId="0" borderId="1" xfId="0" applyFont="1" applyFill="1" applyBorder="1"/>
    <xf numFmtId="2" fontId="3" fillId="0" borderId="2" xfId="0" applyNumberFormat="1" applyFont="1" applyFill="1" applyBorder="1"/>
    <xf numFmtId="2" fontId="0" fillId="0" borderId="0" xfId="0" applyNumberFormat="1" applyFill="1"/>
    <xf numFmtId="0" fontId="9" fillId="0" borderId="0" xfId="0" applyFont="1" applyFill="1"/>
  </cellXfs>
  <cellStyles count="2">
    <cellStyle name="Moneda" xfId="1" builtinId="4"/>
    <cellStyle name="Normal" xfId="0" builtinId="0"/>
  </cellStyles>
  <dxfs count="3"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topLeftCell="A25" zoomScale="101" workbookViewId="0">
      <selection activeCell="A39" sqref="A39"/>
    </sheetView>
  </sheetViews>
  <sheetFormatPr baseColWidth="10" defaultColWidth="8.88671875" defaultRowHeight="14.4" x14ac:dyDescent="0.3"/>
  <cols>
    <col min="1" max="1" width="127.6640625" bestFit="1" customWidth="1"/>
    <col min="2" max="4" width="27" customWidth="1"/>
    <col min="5" max="5" width="31" customWidth="1"/>
    <col min="6" max="6" width="35" customWidth="1"/>
    <col min="7" max="7" width="39" customWidth="1"/>
    <col min="8" max="8" width="43" customWidth="1"/>
    <col min="9" max="9" width="47" customWidth="1"/>
    <col min="10" max="10" width="51" customWidth="1"/>
    <col min="11" max="11" width="55" customWidth="1"/>
    <col min="12" max="12" width="25.5546875" customWidth="1"/>
  </cols>
  <sheetData>
    <row r="1" spans="1:3" ht="21" customHeight="1" x14ac:dyDescent="0.4">
      <c r="A1" s="1" t="s">
        <v>0</v>
      </c>
    </row>
    <row r="2" spans="1:3" x14ac:dyDescent="0.3">
      <c r="A2" s="2" t="s">
        <v>1</v>
      </c>
    </row>
    <row r="4" spans="1:3" ht="15.6" customHeight="1" x14ac:dyDescent="0.3">
      <c r="A4" s="3" t="s">
        <v>2</v>
      </c>
    </row>
    <row r="5" spans="1:3" x14ac:dyDescent="0.3">
      <c r="A5" s="4" t="s">
        <v>3</v>
      </c>
      <c r="B5" s="5">
        <v>5000000</v>
      </c>
      <c r="C5" s="2" t="s">
        <v>4</v>
      </c>
    </row>
    <row r="6" spans="1:3" x14ac:dyDescent="0.3">
      <c r="A6" s="4" t="s">
        <v>5</v>
      </c>
      <c r="B6" s="6">
        <v>85.5</v>
      </c>
      <c r="C6" s="2" t="s">
        <v>6</v>
      </c>
    </row>
    <row r="7" spans="1:3" x14ac:dyDescent="0.3">
      <c r="A7" s="4" t="s">
        <v>7</v>
      </c>
      <c r="B7" s="7">
        <v>2.5000000000000001E-2</v>
      </c>
      <c r="C7" s="2" t="s">
        <v>8</v>
      </c>
    </row>
    <row r="8" spans="1:3" x14ac:dyDescent="0.3">
      <c r="A8" s="4" t="s">
        <v>9</v>
      </c>
      <c r="B8" s="7">
        <v>0.04</v>
      </c>
      <c r="C8" s="2" t="s">
        <v>8</v>
      </c>
    </row>
    <row r="9" spans="1:3" x14ac:dyDescent="0.3">
      <c r="A9" s="4" t="s">
        <v>10</v>
      </c>
      <c r="B9" s="6">
        <v>45000000</v>
      </c>
      <c r="C9" s="2" t="s">
        <v>6</v>
      </c>
    </row>
    <row r="10" spans="1:3" x14ac:dyDescent="0.3">
      <c r="A10" s="4" t="s">
        <v>11</v>
      </c>
      <c r="B10" s="7">
        <v>0.05</v>
      </c>
      <c r="C10" s="2" t="s">
        <v>8</v>
      </c>
    </row>
    <row r="11" spans="1:3" x14ac:dyDescent="0.3">
      <c r="A11" s="4" t="s">
        <v>12</v>
      </c>
      <c r="B11" s="6">
        <v>25000000</v>
      </c>
      <c r="C11" s="2" t="s">
        <v>13</v>
      </c>
    </row>
    <row r="12" spans="1:3" x14ac:dyDescent="0.3">
      <c r="A12" s="4" t="s">
        <v>14</v>
      </c>
      <c r="B12" s="7">
        <v>0.3</v>
      </c>
      <c r="C12" s="2" t="s">
        <v>8</v>
      </c>
    </row>
    <row r="13" spans="1:3" x14ac:dyDescent="0.3">
      <c r="A13" s="4" t="s">
        <v>15</v>
      </c>
      <c r="B13" s="6">
        <v>2500000000</v>
      </c>
      <c r="C13" s="2" t="s">
        <v>6</v>
      </c>
    </row>
    <row r="14" spans="1:3" x14ac:dyDescent="0.3">
      <c r="A14" s="4" t="s">
        <v>16</v>
      </c>
      <c r="B14" s="6">
        <v>400000000</v>
      </c>
      <c r="C14" s="2" t="s">
        <v>6</v>
      </c>
    </row>
    <row r="15" spans="1:3" x14ac:dyDescent="0.3">
      <c r="A15" s="4" t="s">
        <v>17</v>
      </c>
      <c r="B15" s="7">
        <v>8.5000000000000006E-2</v>
      </c>
      <c r="C15" s="2" t="s">
        <v>8</v>
      </c>
    </row>
    <row r="16" spans="1:3" x14ac:dyDescent="0.3">
      <c r="A16" s="4" t="s">
        <v>18</v>
      </c>
      <c r="B16" s="5">
        <v>10</v>
      </c>
      <c r="C16" s="2" t="s">
        <v>19</v>
      </c>
    </row>
    <row r="19" spans="1:12" x14ac:dyDescent="0.3">
      <c r="A19" s="8" t="s">
        <v>20</v>
      </c>
      <c r="B19" s="9" t="s">
        <v>21</v>
      </c>
      <c r="C19" s="9" t="s">
        <v>22</v>
      </c>
      <c r="D19" s="9" t="s">
        <v>23</v>
      </c>
      <c r="E19" s="9" t="s">
        <v>24</v>
      </c>
      <c r="F19" s="9" t="s">
        <v>25</v>
      </c>
      <c r="G19" s="9" t="s">
        <v>26</v>
      </c>
      <c r="H19" s="9" t="s">
        <v>27</v>
      </c>
      <c r="I19" s="9" t="s">
        <v>28</v>
      </c>
      <c r="J19" s="9" t="s">
        <v>29</v>
      </c>
      <c r="K19" s="9" t="s">
        <v>30</v>
      </c>
      <c r="L19" s="9" t="s">
        <v>31</v>
      </c>
    </row>
    <row r="20" spans="1:12" x14ac:dyDescent="0.3">
      <c r="A20" s="10" t="s">
        <v>32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 x14ac:dyDescent="0.3">
      <c r="A21" s="12" t="s">
        <v>33</v>
      </c>
      <c r="B21" s="13">
        <f>$B$5</f>
        <v>5000000</v>
      </c>
      <c r="C21" s="13">
        <f t="shared" ref="C21:K21" si="0">B21*(1+$B$7)</f>
        <v>5125000</v>
      </c>
      <c r="D21" s="13">
        <f t="shared" si="0"/>
        <v>5253125</v>
      </c>
      <c r="E21" s="13">
        <f t="shared" si="0"/>
        <v>5384453.1249999991</v>
      </c>
      <c r="F21" s="13">
        <f t="shared" si="0"/>
        <v>5519064.4531249981</v>
      </c>
      <c r="G21" s="13">
        <f t="shared" si="0"/>
        <v>5657041.0644531222</v>
      </c>
      <c r="H21" s="13">
        <f t="shared" si="0"/>
        <v>5798467.0910644494</v>
      </c>
      <c r="I21" s="13">
        <f t="shared" si="0"/>
        <v>5943428.7683410598</v>
      </c>
      <c r="J21" s="13">
        <f t="shared" si="0"/>
        <v>6092014.4875495862</v>
      </c>
      <c r="K21" s="13">
        <f t="shared" si="0"/>
        <v>6244314.849738325</v>
      </c>
      <c r="L21" s="18">
        <f>AVERAGE(B21:K21)</f>
        <v>5601690.8839271534</v>
      </c>
    </row>
    <row r="22" spans="1:12" x14ac:dyDescent="0.3">
      <c r="A22" s="12" t="s">
        <v>34</v>
      </c>
      <c r="B22" s="14">
        <f>$B$6</f>
        <v>85.5</v>
      </c>
      <c r="C22" s="14">
        <f t="shared" ref="C22:K22" si="1">B22*(1+$B$8)</f>
        <v>88.92</v>
      </c>
      <c r="D22" s="14">
        <f t="shared" si="1"/>
        <v>92.476800000000011</v>
      </c>
      <c r="E22" s="14">
        <f t="shared" si="1"/>
        <v>96.175872000000012</v>
      </c>
      <c r="F22" s="14">
        <f t="shared" si="1"/>
        <v>100.02290688000002</v>
      </c>
      <c r="G22" s="14">
        <f t="shared" si="1"/>
        <v>104.02382315520002</v>
      </c>
      <c r="H22" s="14">
        <f t="shared" si="1"/>
        <v>108.18477608140802</v>
      </c>
      <c r="I22" s="14">
        <f t="shared" si="1"/>
        <v>112.51216712466434</v>
      </c>
      <c r="J22" s="14">
        <f t="shared" si="1"/>
        <v>117.01265380965093</v>
      </c>
      <c r="K22" s="14">
        <f t="shared" si="1"/>
        <v>121.69315996203697</v>
      </c>
      <c r="L22" s="19">
        <f>AVERAGE(B22:K22)</f>
        <v>102.65221590129605</v>
      </c>
    </row>
    <row r="23" spans="1:12" x14ac:dyDescent="0.3">
      <c r="A23" s="12" t="s">
        <v>35</v>
      </c>
      <c r="B23" s="15">
        <f t="shared" ref="B23:K23" si="2">B21*B22</f>
        <v>427500000</v>
      </c>
      <c r="C23" s="15">
        <f t="shared" si="2"/>
        <v>455715000</v>
      </c>
      <c r="D23" s="15">
        <f t="shared" si="2"/>
        <v>485792190.00000006</v>
      </c>
      <c r="E23" s="15">
        <f t="shared" si="2"/>
        <v>517854474.53999996</v>
      </c>
      <c r="F23" s="15">
        <f t="shared" si="2"/>
        <v>552032869.85963988</v>
      </c>
      <c r="G23" s="15">
        <f t="shared" si="2"/>
        <v>588467039.27037609</v>
      </c>
      <c r="H23" s="15">
        <f t="shared" si="2"/>
        <v>627305863.86222076</v>
      </c>
      <c r="I23" s="15">
        <f t="shared" si="2"/>
        <v>668708050.87712729</v>
      </c>
      <c r="J23" s="15">
        <f t="shared" si="2"/>
        <v>712842782.23501778</v>
      </c>
      <c r="K23" s="15">
        <f t="shared" si="2"/>
        <v>759890405.8625288</v>
      </c>
      <c r="L23" s="19">
        <f>AVERAGE(B23:K23)</f>
        <v>579610867.65069115</v>
      </c>
    </row>
    <row r="24" spans="1:12" x14ac:dyDescent="0.3">
      <c r="A24" s="10" t="s">
        <v>36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9"/>
    </row>
    <row r="25" spans="1:12" x14ac:dyDescent="0.3">
      <c r="A25" s="12" t="s">
        <v>37</v>
      </c>
      <c r="B25" s="14">
        <f>$B$9</f>
        <v>45000000</v>
      </c>
      <c r="C25" s="14">
        <f t="shared" ref="C25:K25" si="3">B25*(1+$B$8)</f>
        <v>46800000</v>
      </c>
      <c r="D25" s="14">
        <f t="shared" si="3"/>
        <v>48672000</v>
      </c>
      <c r="E25" s="14">
        <f t="shared" si="3"/>
        <v>50618880</v>
      </c>
      <c r="F25" s="14">
        <f t="shared" si="3"/>
        <v>52643635.200000003</v>
      </c>
      <c r="G25" s="14">
        <f t="shared" si="3"/>
        <v>54749380.608000003</v>
      </c>
      <c r="H25" s="14">
        <f t="shared" si="3"/>
        <v>56939355.832320005</v>
      </c>
      <c r="I25" s="14">
        <f t="shared" si="3"/>
        <v>59216930.065612808</v>
      </c>
      <c r="J25" s="14">
        <f t="shared" si="3"/>
        <v>61585607.268237323</v>
      </c>
      <c r="K25" s="14">
        <f t="shared" si="3"/>
        <v>64049031.558966815</v>
      </c>
      <c r="L25" s="19">
        <f t="shared" ref="L25:L31" si="4">AVERAGE(B25:K25)</f>
        <v>54027482.053313687</v>
      </c>
    </row>
    <row r="26" spans="1:12" x14ac:dyDescent="0.3">
      <c r="A26" s="12" t="s">
        <v>38</v>
      </c>
      <c r="B26" s="14">
        <f t="shared" ref="B26:K26" si="5">B23*$B$10</f>
        <v>21375000</v>
      </c>
      <c r="C26" s="14">
        <f t="shared" si="5"/>
        <v>22785750</v>
      </c>
      <c r="D26" s="14">
        <f t="shared" si="5"/>
        <v>24289609.500000004</v>
      </c>
      <c r="E26" s="14">
        <f t="shared" si="5"/>
        <v>25892723.726999998</v>
      </c>
      <c r="F26" s="14">
        <f t="shared" si="5"/>
        <v>27601643.492981996</v>
      </c>
      <c r="G26" s="14">
        <f t="shared" si="5"/>
        <v>29423351.963518806</v>
      </c>
      <c r="H26" s="14">
        <f t="shared" si="5"/>
        <v>31365293.19311104</v>
      </c>
      <c r="I26" s="14">
        <f t="shared" si="5"/>
        <v>33435402.543856367</v>
      </c>
      <c r="J26" s="14">
        <f t="shared" si="5"/>
        <v>35642139.111750893</v>
      </c>
      <c r="K26" s="14">
        <f t="shared" si="5"/>
        <v>37994520.293126442</v>
      </c>
      <c r="L26" s="19">
        <f t="shared" si="4"/>
        <v>28980543.382534556</v>
      </c>
    </row>
    <row r="27" spans="1:12" x14ac:dyDescent="0.3">
      <c r="A27" s="12" t="s">
        <v>39</v>
      </c>
      <c r="B27" s="14">
        <v>0</v>
      </c>
      <c r="C27" s="14">
        <v>0</v>
      </c>
      <c r="D27" s="14">
        <v>0</v>
      </c>
      <c r="E27" s="14">
        <v>0</v>
      </c>
      <c r="F27" s="14">
        <f>$B$11</f>
        <v>25000000</v>
      </c>
      <c r="G27" s="14">
        <v>0</v>
      </c>
      <c r="H27" s="14">
        <v>0</v>
      </c>
      <c r="I27" s="14">
        <v>0</v>
      </c>
      <c r="J27" s="14">
        <v>0</v>
      </c>
      <c r="K27" s="14">
        <f>$B$11</f>
        <v>25000000</v>
      </c>
      <c r="L27" s="19">
        <f t="shared" si="4"/>
        <v>5000000</v>
      </c>
    </row>
    <row r="28" spans="1:12" x14ac:dyDescent="0.3">
      <c r="A28" s="12" t="s">
        <v>40</v>
      </c>
      <c r="B28" s="16">
        <f t="shared" ref="B28:K28" si="6">SUM(B25:B27)</f>
        <v>66375000</v>
      </c>
      <c r="C28" s="16">
        <f t="shared" si="6"/>
        <v>69585750</v>
      </c>
      <c r="D28" s="16">
        <f t="shared" si="6"/>
        <v>72961609.5</v>
      </c>
      <c r="E28" s="16">
        <f t="shared" si="6"/>
        <v>76511603.726999998</v>
      </c>
      <c r="F28" s="16">
        <f t="shared" si="6"/>
        <v>105245278.692982</v>
      </c>
      <c r="G28" s="16">
        <f t="shared" si="6"/>
        <v>84172732.571518809</v>
      </c>
      <c r="H28" s="16">
        <f t="shared" si="6"/>
        <v>88304649.025431037</v>
      </c>
      <c r="I28" s="16">
        <f t="shared" si="6"/>
        <v>92652332.609469175</v>
      </c>
      <c r="J28" s="16">
        <f t="shared" si="6"/>
        <v>97227746.379988223</v>
      </c>
      <c r="K28" s="16">
        <f t="shared" si="6"/>
        <v>127043551.85209325</v>
      </c>
      <c r="L28" s="19">
        <f t="shared" si="4"/>
        <v>88008025.435848251</v>
      </c>
    </row>
    <row r="29" spans="1:12" x14ac:dyDescent="0.3">
      <c r="A29" s="12" t="s">
        <v>41</v>
      </c>
      <c r="B29" s="15">
        <f t="shared" ref="B29:K29" si="7">B23-B28</f>
        <v>361125000</v>
      </c>
      <c r="C29" s="15">
        <f t="shared" si="7"/>
        <v>386129250</v>
      </c>
      <c r="D29" s="15">
        <f t="shared" si="7"/>
        <v>412830580.50000006</v>
      </c>
      <c r="E29" s="15">
        <f t="shared" si="7"/>
        <v>441342870.81299996</v>
      </c>
      <c r="F29" s="15">
        <f t="shared" si="7"/>
        <v>446787591.16665787</v>
      </c>
      <c r="G29" s="15">
        <f t="shared" si="7"/>
        <v>504294306.69885731</v>
      </c>
      <c r="H29" s="15">
        <f t="shared" si="7"/>
        <v>539001214.83678973</v>
      </c>
      <c r="I29" s="15">
        <f t="shared" si="7"/>
        <v>576055718.26765811</v>
      </c>
      <c r="J29" s="15">
        <f t="shared" si="7"/>
        <v>615615035.85502958</v>
      </c>
      <c r="K29" s="15">
        <f t="shared" si="7"/>
        <v>632846854.01043558</v>
      </c>
      <c r="L29" s="19">
        <f t="shared" si="4"/>
        <v>491602842.2148428</v>
      </c>
    </row>
    <row r="30" spans="1:12" x14ac:dyDescent="0.3">
      <c r="A30" s="12" t="s">
        <v>42</v>
      </c>
      <c r="B30" s="14">
        <f t="shared" ref="B30:K30" si="8">IF(B29&gt;0, B29*$B$12, 0)</f>
        <v>108337500</v>
      </c>
      <c r="C30" s="14">
        <f t="shared" si="8"/>
        <v>115838775</v>
      </c>
      <c r="D30" s="14">
        <f t="shared" si="8"/>
        <v>123849174.15000001</v>
      </c>
      <c r="E30" s="14">
        <f t="shared" si="8"/>
        <v>132402861.24389999</v>
      </c>
      <c r="F30" s="14">
        <f t="shared" si="8"/>
        <v>134036277.34999736</v>
      </c>
      <c r="G30" s="14">
        <f t="shared" si="8"/>
        <v>151288292.00965717</v>
      </c>
      <c r="H30" s="14">
        <f t="shared" si="8"/>
        <v>161700364.4510369</v>
      </c>
      <c r="I30" s="14">
        <f t="shared" si="8"/>
        <v>172816715.48029742</v>
      </c>
      <c r="J30" s="14">
        <f t="shared" si="8"/>
        <v>184684510.75650886</v>
      </c>
      <c r="K30" s="14">
        <f t="shared" si="8"/>
        <v>189854056.20313066</v>
      </c>
      <c r="L30" s="19">
        <f t="shared" si="4"/>
        <v>147480852.66445285</v>
      </c>
    </row>
    <row r="31" spans="1:12" x14ac:dyDescent="0.3">
      <c r="A31" s="12" t="s">
        <v>43</v>
      </c>
      <c r="B31" s="17">
        <f t="shared" ref="B31:K31" si="9">B29-B30</f>
        <v>252787500</v>
      </c>
      <c r="C31" s="17">
        <f t="shared" si="9"/>
        <v>270290475</v>
      </c>
      <c r="D31" s="17">
        <f t="shared" si="9"/>
        <v>288981406.35000002</v>
      </c>
      <c r="E31" s="17">
        <f t="shared" si="9"/>
        <v>308940009.56909996</v>
      </c>
      <c r="F31" s="17">
        <f t="shared" si="9"/>
        <v>312751313.81666052</v>
      </c>
      <c r="G31" s="17">
        <f t="shared" si="9"/>
        <v>353006014.68920016</v>
      </c>
      <c r="H31" s="17">
        <f t="shared" si="9"/>
        <v>377300850.3857528</v>
      </c>
      <c r="I31" s="17">
        <f t="shared" si="9"/>
        <v>403239002.78736067</v>
      </c>
      <c r="J31" s="17">
        <f t="shared" si="9"/>
        <v>430930525.09852076</v>
      </c>
      <c r="K31" s="17">
        <f t="shared" si="9"/>
        <v>442992797.80730492</v>
      </c>
      <c r="L31" s="19">
        <f t="shared" si="4"/>
        <v>344121989.55039001</v>
      </c>
    </row>
    <row r="32" spans="1:12" x14ac:dyDescent="0.3">
      <c r="A32" s="10" t="s">
        <v>44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9"/>
    </row>
    <row r="33" spans="1:12" x14ac:dyDescent="0.3">
      <c r="A33" s="12" t="s">
        <v>45</v>
      </c>
      <c r="B33" s="14">
        <f>$B$13*$B$15</f>
        <v>212500000.00000003</v>
      </c>
      <c r="C33" s="14">
        <f>($B$13-(B34))*$B$15</f>
        <v>191250000</v>
      </c>
      <c r="D33" s="14">
        <f>($B$13-(B34+C34))*$B$15</f>
        <v>170000000</v>
      </c>
      <c r="E33" s="14">
        <f>($B$13-(B34+C34+D34))*$B$15</f>
        <v>148750000</v>
      </c>
      <c r="F33" s="14">
        <f>($B$13-(B34+C34+D34+E34))*$B$15</f>
        <v>127500000.00000001</v>
      </c>
      <c r="G33" s="14">
        <f>($B$13-(B34+C34+D34+E34+F34))*$B$15</f>
        <v>106250000.00000001</v>
      </c>
      <c r="H33" s="14">
        <f>($B$13-(B34+C34+D34+E34+F34+G34))*$B$15</f>
        <v>85000000</v>
      </c>
      <c r="I33" s="14">
        <f>($B$13-(B34+C34+D34+E34+F34+G34+H34))*$B$15</f>
        <v>63750000.000000007</v>
      </c>
      <c r="J33" s="14">
        <f>($B$13-(B34+C34+D34+E34+F34+G34+H34+I34))*$B$15</f>
        <v>42500000</v>
      </c>
      <c r="K33" s="14">
        <f>($B$13-(B34+C34+D34+E34+F34+G34+H34+I34+J34))*$B$15</f>
        <v>21250000</v>
      </c>
      <c r="L33" s="19">
        <f>AVERAGE(B33:K33)</f>
        <v>116875000</v>
      </c>
    </row>
    <row r="34" spans="1:12" x14ac:dyDescent="0.3">
      <c r="A34" s="12" t="s">
        <v>46</v>
      </c>
      <c r="B34" s="14">
        <f t="shared" ref="B34:K34" si="10">$B$13/$B$16</f>
        <v>250000000</v>
      </c>
      <c r="C34" s="14">
        <f t="shared" si="10"/>
        <v>250000000</v>
      </c>
      <c r="D34" s="14">
        <f t="shared" si="10"/>
        <v>250000000</v>
      </c>
      <c r="E34" s="14">
        <f t="shared" si="10"/>
        <v>250000000</v>
      </c>
      <c r="F34" s="14">
        <f t="shared" si="10"/>
        <v>250000000</v>
      </c>
      <c r="G34" s="14">
        <f t="shared" si="10"/>
        <v>250000000</v>
      </c>
      <c r="H34" s="14">
        <f t="shared" si="10"/>
        <v>250000000</v>
      </c>
      <c r="I34" s="14">
        <f t="shared" si="10"/>
        <v>250000000</v>
      </c>
      <c r="J34" s="14">
        <f t="shared" si="10"/>
        <v>250000000</v>
      </c>
      <c r="K34" s="14">
        <f t="shared" si="10"/>
        <v>250000000</v>
      </c>
      <c r="L34" s="19">
        <f>AVERAGE(B34:K34)</f>
        <v>250000000</v>
      </c>
    </row>
    <row r="35" spans="1:12" x14ac:dyDescent="0.3">
      <c r="A35" s="12" t="s">
        <v>47</v>
      </c>
      <c r="B35" s="15">
        <f t="shared" ref="B35:K35" si="11">B33+B34</f>
        <v>462500000</v>
      </c>
      <c r="C35" s="15">
        <f t="shared" si="11"/>
        <v>441250000</v>
      </c>
      <c r="D35" s="15">
        <f t="shared" si="11"/>
        <v>420000000</v>
      </c>
      <c r="E35" s="15">
        <f t="shared" si="11"/>
        <v>398750000</v>
      </c>
      <c r="F35" s="15">
        <f t="shared" si="11"/>
        <v>377500000</v>
      </c>
      <c r="G35" s="15">
        <f t="shared" si="11"/>
        <v>356250000</v>
      </c>
      <c r="H35" s="15">
        <f t="shared" si="11"/>
        <v>335000000</v>
      </c>
      <c r="I35" s="15">
        <f t="shared" si="11"/>
        <v>313750000</v>
      </c>
      <c r="J35" s="15">
        <f t="shared" si="11"/>
        <v>292500000</v>
      </c>
      <c r="K35" s="15">
        <f t="shared" si="11"/>
        <v>271250000</v>
      </c>
      <c r="L35" s="19">
        <f>AVERAGE(B35:K35)</f>
        <v>366875000</v>
      </c>
    </row>
    <row r="36" spans="1:12" x14ac:dyDescent="0.3">
      <c r="A36" s="10" t="s">
        <v>48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9"/>
    </row>
    <row r="37" spans="1:12" x14ac:dyDescent="0.3">
      <c r="A37" s="12" t="s">
        <v>49</v>
      </c>
      <c r="B37" s="14">
        <f t="shared" ref="B37:K37" si="12">B32-B36</f>
        <v>0</v>
      </c>
      <c r="C37" s="14">
        <f t="shared" si="12"/>
        <v>0</v>
      </c>
      <c r="D37" s="14">
        <f t="shared" si="12"/>
        <v>0</v>
      </c>
      <c r="E37" s="14">
        <f t="shared" si="12"/>
        <v>0</v>
      </c>
      <c r="F37" s="14">
        <f t="shared" si="12"/>
        <v>0</v>
      </c>
      <c r="G37" s="14">
        <f t="shared" si="12"/>
        <v>0</v>
      </c>
      <c r="H37" s="14">
        <f t="shared" si="12"/>
        <v>0</v>
      </c>
      <c r="I37" s="14">
        <f t="shared" si="12"/>
        <v>0</v>
      </c>
      <c r="J37" s="14">
        <f t="shared" si="12"/>
        <v>0</v>
      </c>
      <c r="K37" s="14">
        <f t="shared" si="12"/>
        <v>0</v>
      </c>
      <c r="L37" s="19">
        <f>AVERAGE(B37:K37)</f>
        <v>0</v>
      </c>
    </row>
    <row r="38" spans="1:12" ht="15.6" customHeight="1" x14ac:dyDescent="0.3">
      <c r="A38" s="21" t="s">
        <v>50</v>
      </c>
      <c r="B38" s="22">
        <f t="shared" ref="B38:K38" si="13">B31/B35</f>
        <v>0.54656756756756752</v>
      </c>
      <c r="C38" s="22">
        <f t="shared" si="13"/>
        <v>0.61255631728045323</v>
      </c>
      <c r="D38" s="22">
        <f t="shared" si="13"/>
        <v>0.68805096750000005</v>
      </c>
      <c r="E38" s="22">
        <f t="shared" si="13"/>
        <v>0.774771183872351</v>
      </c>
      <c r="F38" s="22">
        <f t="shared" si="13"/>
        <v>0.82848030150108742</v>
      </c>
      <c r="G38" s="22">
        <f t="shared" si="13"/>
        <v>0.99089407632056181</v>
      </c>
      <c r="H38" s="22">
        <f t="shared" si="13"/>
        <v>1.1262711951813515</v>
      </c>
      <c r="I38" s="22">
        <f t="shared" si="13"/>
        <v>1.2852239132664882</v>
      </c>
      <c r="J38" s="22">
        <f t="shared" si="13"/>
        <v>1.4732667524735752</v>
      </c>
      <c r="K38" s="22">
        <f t="shared" si="13"/>
        <v>1.6331531716398338</v>
      </c>
      <c r="L38" s="23">
        <f>AVERAGE(B38:K38)</f>
        <v>0.99592354466032695</v>
      </c>
    </row>
    <row r="39" spans="1:12" ht="15.6" x14ac:dyDescent="0.3">
      <c r="A39" s="24" t="s">
        <v>51</v>
      </c>
      <c r="B39" s="20" t="str">
        <f t="shared" ref="B39:K39" si="14">IF(B38&lt;=0.75, "Rojo", IF(B38&lt;=1.5, "Amarillo", "Verde"))</f>
        <v>Rojo</v>
      </c>
      <c r="C39" t="str">
        <f t="shared" si="14"/>
        <v>Rojo</v>
      </c>
      <c r="D39" t="str">
        <f t="shared" si="14"/>
        <v>Rojo</v>
      </c>
      <c r="E39" t="str">
        <f t="shared" si="14"/>
        <v>Amarillo</v>
      </c>
      <c r="F39" t="str">
        <f t="shared" si="14"/>
        <v>Amarillo</v>
      </c>
      <c r="G39" t="str">
        <f t="shared" si="14"/>
        <v>Amarillo</v>
      </c>
      <c r="H39" t="str">
        <f t="shared" si="14"/>
        <v>Amarillo</v>
      </c>
      <c r="I39" t="str">
        <f t="shared" si="14"/>
        <v>Amarillo</v>
      </c>
      <c r="J39" t="str">
        <f t="shared" si="14"/>
        <v>Amarillo</v>
      </c>
      <c r="K39" t="str">
        <f t="shared" si="14"/>
        <v>Verde</v>
      </c>
    </row>
  </sheetData>
  <conditionalFormatting sqref="B39:K39">
    <cfRule type="cellIs" dxfId="2" priority="1" stopIfTrue="1" operator="equal">
      <formula>"Rojo"</formula>
    </cfRule>
    <cfRule type="cellIs" dxfId="1" priority="2" stopIfTrue="1" operator="equal">
      <formula>"Amarillo"</formula>
    </cfRule>
    <cfRule type="cellIs" dxfId="0" priority="3" stopIfTrue="1" operator="equal">
      <formula>"Verde"</formula>
    </cfRule>
  </conditionalFormatting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Modelo_Financiero_GPO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jacin</cp:lastModifiedBy>
  <cp:lastPrinted>2026-08-19T03:13:49Z</cp:lastPrinted>
  <dcterms:created xsi:type="dcterms:W3CDTF">2026-08-18T22:07:15Z</dcterms:created>
  <dcterms:modified xsi:type="dcterms:W3CDTF">2026-08-27T02:02:15Z</dcterms:modified>
</cp:coreProperties>
</file>